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b71deeed1d1733/Documents/"/>
    </mc:Choice>
  </mc:AlternateContent>
  <xr:revisionPtr revIDLastSave="525" documentId="8_{C39F86EF-904F-4458-AA77-2306B99C789B}" xr6:coauthVersionLast="47" xr6:coauthVersionMax="47" xr10:uidLastSave="{B055D3F8-34F4-4B02-83F0-BF8E91429FD3}"/>
  <bookViews>
    <workbookView xWindow="28680" yWindow="-120" windowWidth="29040" windowHeight="16440" activeTab="3" xr2:uid="{2B6200F3-1053-4DEE-8AE8-6A16C3652D05}"/>
  </bookViews>
  <sheets>
    <sheet name="Fifo" sheetId="1" r:id="rId1"/>
    <sheet name="SNJ" sheetId="2" r:id="rId2"/>
    <sheet name="ProximoTerminar" sheetId="3" r:id="rId3"/>
    <sheet name="Round Robi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27" i="4" l="1"/>
  <c r="AS25" i="4"/>
  <c r="AS21" i="4"/>
  <c r="AS22" i="4"/>
  <c r="AS23" i="4"/>
  <c r="AS24" i="4"/>
  <c r="AS20" i="4"/>
  <c r="AQ13" i="4"/>
  <c r="AS10" i="4"/>
  <c r="AS7" i="4"/>
  <c r="AS8" i="4"/>
  <c r="AS9" i="4"/>
  <c r="AS6" i="4"/>
  <c r="AN28" i="3"/>
  <c r="AP26" i="3"/>
  <c r="AP22" i="3"/>
  <c r="AP23" i="3"/>
  <c r="AP24" i="3"/>
  <c r="AP25" i="3"/>
  <c r="AP21" i="3"/>
  <c r="AN17" i="3"/>
  <c r="AP15" i="3"/>
  <c r="AN24" i="2"/>
  <c r="AO22" i="2"/>
  <c r="AO18" i="2"/>
  <c r="AO19" i="2"/>
  <c r="AO20" i="2"/>
  <c r="AO21" i="2"/>
  <c r="AO17" i="2"/>
  <c r="AO6" i="2"/>
  <c r="AO7" i="2"/>
  <c r="AO8" i="2"/>
  <c r="AO5" i="2"/>
  <c r="AO9" i="2" s="1"/>
  <c r="AN12" i="2" s="1"/>
  <c r="AH24" i="1"/>
  <c r="AH15" i="1"/>
</calcChain>
</file>

<file path=xl/sharedStrings.xml><?xml version="1.0" encoding="utf-8"?>
<sst xmlns="http://schemas.openxmlformats.org/spreadsheetml/2006/main" count="554" uniqueCount="55">
  <si>
    <t xml:space="preserve"> A </t>
  </si>
  <si>
    <t xml:space="preserve"> B</t>
  </si>
  <si>
    <t>C</t>
  </si>
  <si>
    <t>A</t>
  </si>
  <si>
    <t>B</t>
  </si>
  <si>
    <t>Los procesos entran directo a ready y se ejecutan en el orden en que llegaron o entraron a la cola</t>
  </si>
  <si>
    <t>Los 3 llegaron en 0</t>
  </si>
  <si>
    <t>Listo</t>
  </si>
  <si>
    <t>Terminó</t>
  </si>
  <si>
    <t>TAT</t>
  </si>
  <si>
    <t>Shortest Next Job</t>
  </si>
  <si>
    <t>D</t>
  </si>
  <si>
    <t>Terminacion</t>
  </si>
  <si>
    <t xml:space="preserve"> TERM - LLEGADA]</t>
  </si>
  <si>
    <t xml:space="preserve"> TAT = </t>
  </si>
  <si>
    <t>J</t>
  </si>
  <si>
    <t>K</t>
  </si>
  <si>
    <t>L</t>
  </si>
  <si>
    <t>M</t>
  </si>
  <si>
    <t>N</t>
  </si>
  <si>
    <t>Llegada</t>
  </si>
  <si>
    <t>Duracion</t>
  </si>
  <si>
    <t>Term</t>
  </si>
  <si>
    <t>Dif</t>
  </si>
  <si>
    <t>Prioridad</t>
  </si>
  <si>
    <t>Proximo a terminar</t>
  </si>
  <si>
    <t>Dur</t>
  </si>
  <si>
    <t>A5</t>
  </si>
  <si>
    <t>B2</t>
  </si>
  <si>
    <t>D4</t>
  </si>
  <si>
    <t>Salida</t>
  </si>
  <si>
    <t>K4</t>
  </si>
  <si>
    <t>L3</t>
  </si>
  <si>
    <t>M4</t>
  </si>
  <si>
    <t>A8</t>
  </si>
  <si>
    <t>B4</t>
  </si>
  <si>
    <t>C9</t>
  </si>
  <si>
    <t>D5</t>
  </si>
  <si>
    <t>A4</t>
  </si>
  <si>
    <t>C5</t>
  </si>
  <si>
    <t>D1</t>
  </si>
  <si>
    <t>C1</t>
  </si>
  <si>
    <t>Proceso</t>
  </si>
  <si>
    <t>Entrada</t>
  </si>
  <si>
    <t>K6</t>
  </si>
  <si>
    <t>L7</t>
  </si>
  <si>
    <t>J6</t>
  </si>
  <si>
    <t>M5</t>
  </si>
  <si>
    <t>N6</t>
  </si>
  <si>
    <t>K2</t>
  </si>
  <si>
    <t>J2</t>
  </si>
  <si>
    <t>M9</t>
  </si>
  <si>
    <t>N2</t>
  </si>
  <si>
    <t>PROCESO</t>
  </si>
  <si>
    <t xml:space="preserve">TAT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</si>
</sst>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8BE69-934E-4D1F-8109-3E58457EB2CF}">
  <dimension ref="A1:AH24"/>
  <sheetViews>
    <sheetView workbookViewId="0">
      <selection activeCell="C3" sqref="C3:R12"/>
    </sheetView>
  </sheetViews>
  <sheetFormatPr defaultRowHeight="18.75" x14ac:dyDescent="0.3"/>
  <cols>
    <col min="4" max="27" width="3" customWidth="1"/>
  </cols>
  <sheetData>
    <row r="1" spans="1:34" x14ac:dyDescent="0.3">
      <c r="A1" t="s">
        <v>0</v>
      </c>
      <c r="B1">
        <v>15</v>
      </c>
    </row>
    <row r="2" spans="1:34" x14ac:dyDescent="0.3">
      <c r="A2" t="s">
        <v>1</v>
      </c>
      <c r="B2">
        <v>2</v>
      </c>
    </row>
    <row r="3" spans="1:34" x14ac:dyDescent="0.3">
      <c r="A3" t="s">
        <v>2</v>
      </c>
      <c r="B3">
        <v>1</v>
      </c>
    </row>
    <row r="4" spans="1:34" x14ac:dyDescent="0.3">
      <c r="D4">
        <v>0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</row>
    <row r="5" spans="1:34" x14ac:dyDescent="0.3"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  <c r="R5" s="1" t="s">
        <v>3</v>
      </c>
      <c r="S5" s="2" t="s">
        <v>4</v>
      </c>
      <c r="T5" s="2" t="s">
        <v>4</v>
      </c>
      <c r="U5" s="3" t="s">
        <v>2</v>
      </c>
    </row>
    <row r="6" spans="1:34" x14ac:dyDescent="0.3"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2</v>
      </c>
      <c r="T6" t="s">
        <v>2</v>
      </c>
    </row>
    <row r="7" spans="1:34" x14ac:dyDescent="0.3"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</row>
    <row r="8" spans="1:34" x14ac:dyDescent="0.3">
      <c r="D8" t="s">
        <v>5</v>
      </c>
    </row>
    <row r="10" spans="1:34" x14ac:dyDescent="0.3">
      <c r="AC10" t="s">
        <v>6</v>
      </c>
      <c r="AG10" t="s">
        <v>7</v>
      </c>
      <c r="AH10" t="s">
        <v>8</v>
      </c>
    </row>
    <row r="11" spans="1:34" x14ac:dyDescent="0.3">
      <c r="AF11" t="s">
        <v>3</v>
      </c>
      <c r="AG11">
        <v>0</v>
      </c>
      <c r="AH11">
        <v>15</v>
      </c>
    </row>
    <row r="12" spans="1:34" x14ac:dyDescent="0.3">
      <c r="AF12" t="s">
        <v>4</v>
      </c>
      <c r="AG12">
        <v>0</v>
      </c>
      <c r="AH12">
        <v>17</v>
      </c>
    </row>
    <row r="13" spans="1:34" x14ac:dyDescent="0.3">
      <c r="AF13" t="s">
        <v>2</v>
      </c>
      <c r="AG13">
        <v>0</v>
      </c>
      <c r="AH13">
        <v>18</v>
      </c>
    </row>
    <row r="15" spans="1:34" x14ac:dyDescent="0.3">
      <c r="AG15" t="s">
        <v>9</v>
      </c>
      <c r="AH15">
        <f>(AH11+AH12+AH13)/3</f>
        <v>16.666666666666668</v>
      </c>
    </row>
    <row r="18" spans="3:34" x14ac:dyDescent="0.3">
      <c r="D18">
        <v>0</v>
      </c>
      <c r="E18">
        <v>1</v>
      </c>
      <c r="F18">
        <v>2</v>
      </c>
      <c r="G18">
        <v>3</v>
      </c>
      <c r="H18">
        <v>4</v>
      </c>
      <c r="I18">
        <v>5</v>
      </c>
      <c r="J18">
        <v>6</v>
      </c>
      <c r="K18">
        <v>7</v>
      </c>
      <c r="L18">
        <v>8</v>
      </c>
      <c r="M18">
        <v>9</v>
      </c>
      <c r="N18">
        <v>10</v>
      </c>
      <c r="O18">
        <v>11</v>
      </c>
      <c r="P18">
        <v>12</v>
      </c>
      <c r="Q18">
        <v>13</v>
      </c>
      <c r="R18">
        <v>14</v>
      </c>
      <c r="S18">
        <v>15</v>
      </c>
      <c r="T18">
        <v>16</v>
      </c>
      <c r="U18">
        <v>17</v>
      </c>
      <c r="V18">
        <v>18</v>
      </c>
      <c r="W18">
        <v>19</v>
      </c>
      <c r="X18">
        <v>20</v>
      </c>
      <c r="Y18">
        <v>21</v>
      </c>
      <c r="Z18">
        <v>22</v>
      </c>
      <c r="AA18">
        <v>23</v>
      </c>
    </row>
    <row r="19" spans="3:34" x14ac:dyDescent="0.3">
      <c r="C19" t="s">
        <v>2</v>
      </c>
      <c r="D19" s="3" t="s">
        <v>2</v>
      </c>
      <c r="E19" s="2" t="s">
        <v>4</v>
      </c>
      <c r="F19" s="2" t="s">
        <v>4</v>
      </c>
      <c r="G19" s="1" t="s">
        <v>3</v>
      </c>
      <c r="H19" s="1" t="s">
        <v>3</v>
      </c>
      <c r="I19" s="1" t="s">
        <v>3</v>
      </c>
      <c r="J19" s="1" t="s">
        <v>3</v>
      </c>
      <c r="K19" s="1" t="s">
        <v>3</v>
      </c>
      <c r="L19" s="1" t="s">
        <v>3</v>
      </c>
      <c r="M19" s="1" t="s">
        <v>3</v>
      </c>
      <c r="N19" s="1" t="s">
        <v>3</v>
      </c>
      <c r="O19" s="1" t="s">
        <v>3</v>
      </c>
      <c r="P19" s="1" t="s">
        <v>3</v>
      </c>
      <c r="Q19" s="1" t="s">
        <v>3</v>
      </c>
      <c r="R19" s="1" t="s">
        <v>3</v>
      </c>
      <c r="S19" s="1" t="s">
        <v>3</v>
      </c>
      <c r="T19" s="1" t="s">
        <v>3</v>
      </c>
      <c r="U19" s="1" t="s">
        <v>3</v>
      </c>
      <c r="AC19" t="s">
        <v>6</v>
      </c>
      <c r="AG19" t="s">
        <v>7</v>
      </c>
      <c r="AH19" t="s">
        <v>8</v>
      </c>
    </row>
    <row r="20" spans="3:34" x14ac:dyDescent="0.3">
      <c r="C20" t="s">
        <v>4</v>
      </c>
      <c r="D20" t="s">
        <v>4</v>
      </c>
      <c r="E20" t="s">
        <v>3</v>
      </c>
      <c r="F20" t="s">
        <v>3</v>
      </c>
      <c r="AF20" t="s">
        <v>3</v>
      </c>
      <c r="AG20">
        <v>0</v>
      </c>
      <c r="AH20">
        <v>18</v>
      </c>
    </row>
    <row r="21" spans="3:34" x14ac:dyDescent="0.3">
      <c r="C21" t="s">
        <v>3</v>
      </c>
      <c r="D21" t="s">
        <v>3</v>
      </c>
      <c r="AF21" t="s">
        <v>4</v>
      </c>
      <c r="AG21">
        <v>0</v>
      </c>
      <c r="AH21">
        <v>3</v>
      </c>
    </row>
    <row r="22" spans="3:34" x14ac:dyDescent="0.3">
      <c r="AF22" t="s">
        <v>2</v>
      </c>
      <c r="AG22">
        <v>0</v>
      </c>
      <c r="AH22">
        <v>1</v>
      </c>
    </row>
    <row r="24" spans="3:34" x14ac:dyDescent="0.3">
      <c r="AG24" t="s">
        <v>9</v>
      </c>
      <c r="AH24">
        <f>(AH20+AH21+AH22)/3</f>
        <v>7.333333333333333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A618-455A-4D46-93EB-BAA881AAE318}">
  <dimension ref="A1:AO27"/>
  <sheetViews>
    <sheetView workbookViewId="0">
      <selection activeCell="G15" sqref="G15:AK15"/>
    </sheetView>
  </sheetViews>
  <sheetFormatPr defaultRowHeight="18.75" x14ac:dyDescent="0.3"/>
  <cols>
    <col min="6" max="20" width="3.09765625" customWidth="1"/>
    <col min="21" max="31" width="3.3984375" customWidth="1"/>
    <col min="32" max="37" width="3.09765625" customWidth="1"/>
  </cols>
  <sheetData>
    <row r="1" spans="1:41" x14ac:dyDescent="0.3">
      <c r="A1" t="s">
        <v>10</v>
      </c>
    </row>
    <row r="3" spans="1:41" x14ac:dyDescent="0.3">
      <c r="B3" t="s">
        <v>3</v>
      </c>
      <c r="C3">
        <v>5</v>
      </c>
      <c r="F3">
        <v>0</v>
      </c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M3">
        <v>7</v>
      </c>
      <c r="N3">
        <v>8</v>
      </c>
      <c r="O3">
        <v>9</v>
      </c>
      <c r="P3">
        <v>10</v>
      </c>
      <c r="Q3">
        <v>11</v>
      </c>
      <c r="R3">
        <v>12</v>
      </c>
      <c r="S3">
        <v>13</v>
      </c>
      <c r="T3">
        <v>14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  <c r="AF3">
        <v>26</v>
      </c>
      <c r="AG3">
        <v>27</v>
      </c>
      <c r="AH3">
        <v>28</v>
      </c>
      <c r="AI3">
        <v>29</v>
      </c>
      <c r="AJ3">
        <v>30</v>
      </c>
    </row>
    <row r="4" spans="1:41" x14ac:dyDescent="0.3">
      <c r="B4" t="s">
        <v>4</v>
      </c>
      <c r="C4">
        <v>2</v>
      </c>
      <c r="E4" t="s">
        <v>3</v>
      </c>
      <c r="F4" s="1" t="s">
        <v>4</v>
      </c>
      <c r="G4" s="1" t="s">
        <v>4</v>
      </c>
      <c r="H4" s="4" t="s">
        <v>11</v>
      </c>
      <c r="I4" s="4" t="s">
        <v>11</v>
      </c>
      <c r="J4" s="4" t="s">
        <v>11</v>
      </c>
      <c r="K4" s="4" t="s">
        <v>11</v>
      </c>
      <c r="L4" s="5" t="s">
        <v>3</v>
      </c>
      <c r="M4" s="5" t="s">
        <v>3</v>
      </c>
      <c r="N4" s="5" t="s">
        <v>3</v>
      </c>
      <c r="O4" s="5" t="s">
        <v>3</v>
      </c>
      <c r="P4" s="5" t="s">
        <v>3</v>
      </c>
      <c r="Q4" s="6" t="s">
        <v>2</v>
      </c>
      <c r="R4" s="6" t="s">
        <v>2</v>
      </c>
      <c r="S4" s="6" t="s">
        <v>2</v>
      </c>
      <c r="T4" s="6" t="s">
        <v>2</v>
      </c>
      <c r="U4" s="6" t="s">
        <v>2</v>
      </c>
      <c r="V4" s="6" t="s">
        <v>2</v>
      </c>
      <c r="AL4" t="s">
        <v>9</v>
      </c>
      <c r="AM4" t="s">
        <v>20</v>
      </c>
      <c r="AN4" t="s">
        <v>12</v>
      </c>
      <c r="AO4" t="s">
        <v>13</v>
      </c>
    </row>
    <row r="5" spans="1:41" x14ac:dyDescent="0.3">
      <c r="B5" t="s">
        <v>2</v>
      </c>
      <c r="C5">
        <v>6</v>
      </c>
      <c r="E5" t="s">
        <v>4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AL5" t="s">
        <v>3</v>
      </c>
      <c r="AM5">
        <v>0</v>
      </c>
      <c r="AN5">
        <v>11</v>
      </c>
      <c r="AO5">
        <f>AN5-AM5</f>
        <v>11</v>
      </c>
    </row>
    <row r="6" spans="1:41" x14ac:dyDescent="0.3">
      <c r="B6" t="s">
        <v>11</v>
      </c>
      <c r="C6">
        <v>4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AL6" t="s">
        <v>4</v>
      </c>
      <c r="AM6">
        <v>0</v>
      </c>
      <c r="AN6">
        <v>2</v>
      </c>
      <c r="AO6">
        <f t="shared" ref="AO6:AO8" si="0">AN6-AM6</f>
        <v>2</v>
      </c>
    </row>
    <row r="7" spans="1:41" x14ac:dyDescent="0.3">
      <c r="E7" t="s">
        <v>11</v>
      </c>
      <c r="F7" t="s">
        <v>11</v>
      </c>
      <c r="G7" t="s">
        <v>11</v>
      </c>
      <c r="AL7" t="s">
        <v>2</v>
      </c>
      <c r="AM7">
        <v>0</v>
      </c>
      <c r="AN7">
        <v>17</v>
      </c>
      <c r="AO7">
        <f t="shared" si="0"/>
        <v>17</v>
      </c>
    </row>
    <row r="8" spans="1:41" x14ac:dyDescent="0.3">
      <c r="AL8" t="s">
        <v>11</v>
      </c>
      <c r="AM8">
        <v>0</v>
      </c>
      <c r="AN8">
        <v>6</v>
      </c>
      <c r="AO8">
        <f t="shared" si="0"/>
        <v>6</v>
      </c>
    </row>
    <row r="9" spans="1:41" x14ac:dyDescent="0.3">
      <c r="AO9">
        <f>SUM(AO5:AO8)</f>
        <v>36</v>
      </c>
    </row>
    <row r="12" spans="1:41" x14ac:dyDescent="0.3">
      <c r="C12" t="s">
        <v>21</v>
      </c>
      <c r="D12" t="s">
        <v>20</v>
      </c>
      <c r="AM12" t="s">
        <v>14</v>
      </c>
      <c r="AN12">
        <f>AO9/4</f>
        <v>9</v>
      </c>
    </row>
    <row r="13" spans="1:41" x14ac:dyDescent="0.3">
      <c r="B13" t="s">
        <v>15</v>
      </c>
      <c r="C13">
        <v>4</v>
      </c>
      <c r="D13">
        <v>0</v>
      </c>
    </row>
    <row r="14" spans="1:41" x14ac:dyDescent="0.3">
      <c r="B14" t="s">
        <v>16</v>
      </c>
      <c r="C14">
        <v>8</v>
      </c>
      <c r="D14">
        <v>0</v>
      </c>
    </row>
    <row r="15" spans="1:41" x14ac:dyDescent="0.3">
      <c r="B15" t="s">
        <v>17</v>
      </c>
      <c r="C15">
        <v>3</v>
      </c>
      <c r="D15">
        <v>0</v>
      </c>
      <c r="G15">
        <v>0</v>
      </c>
      <c r="H15">
        <v>1</v>
      </c>
      <c r="I15">
        <v>2</v>
      </c>
      <c r="J15">
        <v>3</v>
      </c>
      <c r="K15">
        <v>4</v>
      </c>
      <c r="L15">
        <v>5</v>
      </c>
      <c r="M15">
        <v>6</v>
      </c>
      <c r="N15">
        <v>7</v>
      </c>
      <c r="O15">
        <v>8</v>
      </c>
      <c r="P15">
        <v>9</v>
      </c>
      <c r="Q15">
        <v>10</v>
      </c>
      <c r="R15">
        <v>11</v>
      </c>
      <c r="S15">
        <v>12</v>
      </c>
      <c r="T15">
        <v>13</v>
      </c>
      <c r="U15">
        <v>14</v>
      </c>
      <c r="V15">
        <v>15</v>
      </c>
      <c r="W15">
        <v>16</v>
      </c>
      <c r="X15">
        <v>17</v>
      </c>
      <c r="Y15">
        <v>18</v>
      </c>
      <c r="Z15">
        <v>19</v>
      </c>
      <c r="AA15">
        <v>20</v>
      </c>
      <c r="AB15">
        <v>21</v>
      </c>
      <c r="AC15">
        <v>22</v>
      </c>
      <c r="AD15">
        <v>23</v>
      </c>
      <c r="AE15">
        <v>24</v>
      </c>
      <c r="AF15">
        <v>25</v>
      </c>
      <c r="AG15">
        <v>26</v>
      </c>
      <c r="AH15">
        <v>27</v>
      </c>
      <c r="AI15">
        <v>28</v>
      </c>
      <c r="AJ15">
        <v>29</v>
      </c>
      <c r="AK15">
        <v>30</v>
      </c>
    </row>
    <row r="16" spans="1:41" x14ac:dyDescent="0.3">
      <c r="B16" t="s">
        <v>18</v>
      </c>
      <c r="C16">
        <v>6</v>
      </c>
      <c r="D16">
        <v>0</v>
      </c>
      <c r="F16" t="s">
        <v>15</v>
      </c>
      <c r="G16" s="1" t="s">
        <v>17</v>
      </c>
      <c r="H16" s="1" t="s">
        <v>17</v>
      </c>
      <c r="I16" s="1" t="s">
        <v>17</v>
      </c>
      <c r="J16" s="6" t="s">
        <v>15</v>
      </c>
      <c r="K16" s="6" t="s">
        <v>15</v>
      </c>
      <c r="L16" s="6" t="s">
        <v>15</v>
      </c>
      <c r="M16" s="6" t="s">
        <v>15</v>
      </c>
      <c r="N16" s="7" t="s">
        <v>18</v>
      </c>
      <c r="O16" s="7" t="s">
        <v>18</v>
      </c>
      <c r="P16" s="7" t="s">
        <v>18</v>
      </c>
      <c r="Q16" s="7" t="s">
        <v>18</v>
      </c>
      <c r="R16" s="7" t="s">
        <v>18</v>
      </c>
      <c r="S16" s="7" t="s">
        <v>18</v>
      </c>
      <c r="T16" s="8" t="s">
        <v>19</v>
      </c>
      <c r="U16" s="8" t="s">
        <v>19</v>
      </c>
      <c r="V16" s="8" t="s">
        <v>19</v>
      </c>
      <c r="W16" s="8" t="s">
        <v>19</v>
      </c>
      <c r="X16" s="8" t="s">
        <v>19</v>
      </c>
      <c r="Y16" s="9" t="s">
        <v>16</v>
      </c>
      <c r="Z16" s="9" t="s">
        <v>16</v>
      </c>
      <c r="AA16" s="9" t="s">
        <v>16</v>
      </c>
      <c r="AB16" s="9" t="s">
        <v>16</v>
      </c>
      <c r="AC16" s="9" t="s">
        <v>16</v>
      </c>
      <c r="AD16" s="9" t="s">
        <v>16</v>
      </c>
      <c r="AE16" s="9" t="s">
        <v>16</v>
      </c>
      <c r="AF16" s="9" t="s">
        <v>16</v>
      </c>
      <c r="AM16" t="s">
        <v>20</v>
      </c>
      <c r="AN16" t="s">
        <v>22</v>
      </c>
      <c r="AO16" t="s">
        <v>23</v>
      </c>
    </row>
    <row r="17" spans="2:41" x14ac:dyDescent="0.3">
      <c r="B17" t="s">
        <v>19</v>
      </c>
      <c r="C17">
        <v>5</v>
      </c>
      <c r="D17">
        <v>10</v>
      </c>
      <c r="F17" t="s">
        <v>16</v>
      </c>
      <c r="G17" t="s">
        <v>15</v>
      </c>
      <c r="H17" t="s">
        <v>15</v>
      </c>
      <c r="I17" t="s">
        <v>15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AL17" t="s">
        <v>15</v>
      </c>
      <c r="AM17">
        <v>0</v>
      </c>
      <c r="AN17">
        <v>7</v>
      </c>
      <c r="AO17">
        <f>AN17-AM17</f>
        <v>7</v>
      </c>
    </row>
    <row r="18" spans="2:41" x14ac:dyDescent="0.3">
      <c r="F18" t="s">
        <v>17</v>
      </c>
      <c r="G18" t="s">
        <v>16</v>
      </c>
      <c r="H18" t="s">
        <v>16</v>
      </c>
      <c r="I18" t="s">
        <v>16</v>
      </c>
      <c r="J18" t="s">
        <v>18</v>
      </c>
      <c r="K18" t="s">
        <v>18</v>
      </c>
      <c r="L18" t="s">
        <v>18</v>
      </c>
      <c r="M18" t="s">
        <v>18</v>
      </c>
      <c r="Q18" t="s">
        <v>19</v>
      </c>
      <c r="R18" t="s">
        <v>19</v>
      </c>
      <c r="S18" t="s">
        <v>19</v>
      </c>
      <c r="AL18" t="s">
        <v>16</v>
      </c>
      <c r="AM18">
        <v>0</v>
      </c>
      <c r="AN18">
        <v>26</v>
      </c>
      <c r="AO18">
        <f t="shared" ref="AO18:AO21" si="1">AN18-AM18</f>
        <v>26</v>
      </c>
    </row>
    <row r="19" spans="2:41" x14ac:dyDescent="0.3">
      <c r="F19" t="s">
        <v>18</v>
      </c>
      <c r="G19" t="s">
        <v>18</v>
      </c>
      <c r="H19" t="s">
        <v>18</v>
      </c>
      <c r="I19" t="s">
        <v>18</v>
      </c>
      <c r="AL19" t="s">
        <v>17</v>
      </c>
      <c r="AM19">
        <v>0</v>
      </c>
      <c r="AN19">
        <v>3</v>
      </c>
      <c r="AO19">
        <f t="shared" si="1"/>
        <v>3</v>
      </c>
    </row>
    <row r="20" spans="2:41" x14ac:dyDescent="0.3">
      <c r="AL20" t="s">
        <v>18</v>
      </c>
      <c r="AM20">
        <v>0</v>
      </c>
      <c r="AN20">
        <v>13</v>
      </c>
      <c r="AO20">
        <f t="shared" si="1"/>
        <v>13</v>
      </c>
    </row>
    <row r="21" spans="2:41" x14ac:dyDescent="0.3">
      <c r="E21" t="s">
        <v>24</v>
      </c>
      <c r="AL21" t="s">
        <v>19</v>
      </c>
      <c r="AM21">
        <v>10</v>
      </c>
      <c r="AN21">
        <v>18</v>
      </c>
      <c r="AO21">
        <f t="shared" si="1"/>
        <v>8</v>
      </c>
    </row>
    <row r="22" spans="2:41" x14ac:dyDescent="0.3">
      <c r="E22">
        <v>0</v>
      </c>
      <c r="AO22">
        <f>SUM(AO17:AO21)</f>
        <v>57</v>
      </c>
    </row>
    <row r="23" spans="2:41" x14ac:dyDescent="0.3">
      <c r="E23">
        <v>0</v>
      </c>
    </row>
    <row r="24" spans="2:41" x14ac:dyDescent="0.3">
      <c r="E24">
        <v>1</v>
      </c>
      <c r="AM24" t="s">
        <v>9</v>
      </c>
      <c r="AN24">
        <f>AO22/5</f>
        <v>11.4</v>
      </c>
    </row>
    <row r="25" spans="2:41" x14ac:dyDescent="0.3">
      <c r="E25">
        <v>2</v>
      </c>
    </row>
    <row r="26" spans="2:41" x14ac:dyDescent="0.3">
      <c r="E26">
        <v>0</v>
      </c>
    </row>
    <row r="27" spans="2:41" x14ac:dyDescent="0.3">
      <c r="E2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2080-93C2-4869-9589-2D876783D2EC}">
  <dimension ref="A1:AP28"/>
  <sheetViews>
    <sheetView topLeftCell="A4" workbookViewId="0">
      <selection activeCell="F10" sqref="F10:AJ10"/>
    </sheetView>
  </sheetViews>
  <sheetFormatPr defaultRowHeight="18.75" x14ac:dyDescent="0.3"/>
  <cols>
    <col min="6" max="21" width="3.09765625" customWidth="1"/>
    <col min="22" max="32" width="3.19921875" customWidth="1"/>
    <col min="33" max="38" width="3.3984375" customWidth="1"/>
  </cols>
  <sheetData>
    <row r="1" spans="1:42" x14ac:dyDescent="0.3">
      <c r="A1" t="s">
        <v>25</v>
      </c>
    </row>
    <row r="4" spans="1:42" x14ac:dyDescent="0.3">
      <c r="B4" t="s">
        <v>26</v>
      </c>
      <c r="C4" t="s">
        <v>20</v>
      </c>
    </row>
    <row r="5" spans="1:42" x14ac:dyDescent="0.3">
      <c r="A5" t="s">
        <v>3</v>
      </c>
      <c r="B5">
        <v>6</v>
      </c>
      <c r="C5">
        <v>0</v>
      </c>
    </row>
    <row r="6" spans="1:42" x14ac:dyDescent="0.3">
      <c r="A6" t="s">
        <v>4</v>
      </c>
      <c r="B6">
        <v>3</v>
      </c>
      <c r="C6">
        <v>1</v>
      </c>
    </row>
    <row r="7" spans="1:42" x14ac:dyDescent="0.3">
      <c r="A7" t="s">
        <v>2</v>
      </c>
      <c r="B7">
        <v>1</v>
      </c>
      <c r="C7">
        <v>2</v>
      </c>
    </row>
    <row r="8" spans="1:42" x14ac:dyDescent="0.3">
      <c r="A8" t="s">
        <v>11</v>
      </c>
      <c r="B8">
        <v>4</v>
      </c>
      <c r="C8">
        <v>3</v>
      </c>
    </row>
    <row r="10" spans="1:42" x14ac:dyDescent="0.3">
      <c r="F10">
        <v>0</v>
      </c>
      <c r="G10">
        <v>1</v>
      </c>
      <c r="H10">
        <v>2</v>
      </c>
      <c r="I10">
        <v>3</v>
      </c>
      <c r="J10">
        <v>4</v>
      </c>
      <c r="K10">
        <v>5</v>
      </c>
      <c r="L10">
        <v>6</v>
      </c>
      <c r="M10">
        <v>7</v>
      </c>
      <c r="N10">
        <v>8</v>
      </c>
      <c r="O10">
        <v>9</v>
      </c>
      <c r="P10">
        <v>10</v>
      </c>
      <c r="Q10">
        <v>11</v>
      </c>
      <c r="R10">
        <v>12</v>
      </c>
      <c r="S10">
        <v>13</v>
      </c>
      <c r="T10">
        <v>14</v>
      </c>
      <c r="U10">
        <v>15</v>
      </c>
      <c r="V10">
        <v>16</v>
      </c>
      <c r="W10">
        <v>17</v>
      </c>
      <c r="X10">
        <v>18</v>
      </c>
      <c r="Y10">
        <v>19</v>
      </c>
      <c r="Z10">
        <v>20</v>
      </c>
      <c r="AA10">
        <v>21</v>
      </c>
      <c r="AB10">
        <v>22</v>
      </c>
      <c r="AC10">
        <v>23</v>
      </c>
      <c r="AD10">
        <v>24</v>
      </c>
      <c r="AE10">
        <v>25</v>
      </c>
      <c r="AF10">
        <v>26</v>
      </c>
      <c r="AG10">
        <v>27</v>
      </c>
      <c r="AH10">
        <v>28</v>
      </c>
      <c r="AI10">
        <v>29</v>
      </c>
      <c r="AJ10">
        <v>30</v>
      </c>
      <c r="AN10" t="s">
        <v>20</v>
      </c>
      <c r="AO10" t="s">
        <v>30</v>
      </c>
      <c r="AP10" t="s">
        <v>23</v>
      </c>
    </row>
    <row r="11" spans="1:42" x14ac:dyDescent="0.3">
      <c r="E11" t="s">
        <v>3</v>
      </c>
      <c r="F11" s="9" t="s">
        <v>3</v>
      </c>
      <c r="G11" s="10" t="s">
        <v>4</v>
      </c>
      <c r="H11" s="11" t="s">
        <v>2</v>
      </c>
      <c r="I11" s="10" t="s">
        <v>4</v>
      </c>
      <c r="J11" s="10" t="s">
        <v>4</v>
      </c>
      <c r="K11" s="12" t="s">
        <v>11</v>
      </c>
      <c r="L11" s="12" t="s">
        <v>11</v>
      </c>
      <c r="M11" s="12" t="s">
        <v>11</v>
      </c>
      <c r="N11" s="12" t="s">
        <v>11</v>
      </c>
      <c r="O11" s="9" t="s">
        <v>3</v>
      </c>
      <c r="P11" s="9" t="s">
        <v>3</v>
      </c>
      <c r="Q11" s="9" t="s">
        <v>3</v>
      </c>
      <c r="R11" s="9" t="s">
        <v>3</v>
      </c>
      <c r="S11" s="9" t="s">
        <v>3</v>
      </c>
      <c r="AM11" t="s">
        <v>3</v>
      </c>
      <c r="AN11">
        <v>0</v>
      </c>
      <c r="AO11">
        <v>14</v>
      </c>
      <c r="AP11">
        <v>14</v>
      </c>
    </row>
    <row r="12" spans="1:42" x14ac:dyDescent="0.3"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AM12" t="s">
        <v>4</v>
      </c>
      <c r="AN12">
        <v>1</v>
      </c>
      <c r="AO12">
        <v>5</v>
      </c>
      <c r="AP12">
        <v>4</v>
      </c>
    </row>
    <row r="13" spans="1:42" x14ac:dyDescent="0.3">
      <c r="H13" t="s">
        <v>28</v>
      </c>
      <c r="I13" t="s">
        <v>29</v>
      </c>
      <c r="J13" t="s">
        <v>29</v>
      </c>
      <c r="AM13" t="s">
        <v>2</v>
      </c>
      <c r="AN13">
        <v>2</v>
      </c>
      <c r="AO13">
        <v>3</v>
      </c>
      <c r="AP13">
        <v>1</v>
      </c>
    </row>
    <row r="14" spans="1:42" x14ac:dyDescent="0.3">
      <c r="AM14" t="s">
        <v>11</v>
      </c>
      <c r="AN14">
        <v>3</v>
      </c>
      <c r="AO14">
        <v>9</v>
      </c>
      <c r="AP14">
        <v>6</v>
      </c>
    </row>
    <row r="15" spans="1:42" x14ac:dyDescent="0.3">
      <c r="AP15">
        <f>SUM(AP11:AP14)</f>
        <v>25</v>
      </c>
    </row>
    <row r="17" spans="1:42" x14ac:dyDescent="0.3">
      <c r="AM17" t="s">
        <v>9</v>
      </c>
      <c r="AN17">
        <f>AP15/4</f>
        <v>6.25</v>
      </c>
    </row>
    <row r="19" spans="1:42" x14ac:dyDescent="0.3">
      <c r="B19" t="s">
        <v>26</v>
      </c>
      <c r="C19" t="s">
        <v>20</v>
      </c>
      <c r="F19">
        <v>0</v>
      </c>
      <c r="G19">
        <v>1</v>
      </c>
      <c r="H19">
        <v>2</v>
      </c>
      <c r="I19">
        <v>3</v>
      </c>
      <c r="J19">
        <v>4</v>
      </c>
      <c r="K19">
        <v>5</v>
      </c>
      <c r="L19">
        <v>6</v>
      </c>
      <c r="M19">
        <v>7</v>
      </c>
      <c r="N19">
        <v>8</v>
      </c>
      <c r="O19">
        <v>9</v>
      </c>
      <c r="P19">
        <v>10</v>
      </c>
      <c r="Q19">
        <v>11</v>
      </c>
      <c r="R19">
        <v>12</v>
      </c>
      <c r="S19">
        <v>13</v>
      </c>
      <c r="T19">
        <v>14</v>
      </c>
      <c r="U19">
        <v>15</v>
      </c>
      <c r="V19">
        <v>16</v>
      </c>
      <c r="W19">
        <v>17</v>
      </c>
      <c r="X19">
        <v>18</v>
      </c>
      <c r="Y19">
        <v>19</v>
      </c>
      <c r="Z19">
        <v>20</v>
      </c>
      <c r="AA19">
        <v>21</v>
      </c>
      <c r="AB19">
        <v>22</v>
      </c>
      <c r="AC19">
        <v>23</v>
      </c>
      <c r="AD19">
        <v>24</v>
      </c>
      <c r="AE19">
        <v>25</v>
      </c>
      <c r="AF19">
        <v>26</v>
      </c>
      <c r="AG19">
        <v>27</v>
      </c>
      <c r="AH19">
        <v>28</v>
      </c>
      <c r="AI19">
        <v>29</v>
      </c>
      <c r="AJ19">
        <v>30</v>
      </c>
    </row>
    <row r="20" spans="1:42" x14ac:dyDescent="0.3">
      <c r="A20" t="s">
        <v>15</v>
      </c>
      <c r="B20">
        <v>5</v>
      </c>
      <c r="C20">
        <v>0</v>
      </c>
      <c r="E20" t="s">
        <v>15</v>
      </c>
      <c r="F20" s="12" t="s">
        <v>15</v>
      </c>
      <c r="G20" s="12" t="s">
        <v>15</v>
      </c>
      <c r="H20" s="12" t="s">
        <v>15</v>
      </c>
      <c r="I20" s="12" t="s">
        <v>15</v>
      </c>
      <c r="J20" s="12" t="s">
        <v>15</v>
      </c>
      <c r="K20" s="13" t="s">
        <v>17</v>
      </c>
      <c r="L20" s="13" t="s">
        <v>17</v>
      </c>
      <c r="M20" s="13" t="s">
        <v>17</v>
      </c>
      <c r="N20" s="3" t="s">
        <v>19</v>
      </c>
      <c r="O20" s="3" t="s">
        <v>19</v>
      </c>
      <c r="P20" s="14" t="s">
        <v>16</v>
      </c>
      <c r="Q20" s="14" t="s">
        <v>16</v>
      </c>
      <c r="R20" s="14" t="s">
        <v>16</v>
      </c>
      <c r="S20" s="14" t="s">
        <v>16</v>
      </c>
      <c r="T20" s="1" t="s">
        <v>18</v>
      </c>
      <c r="U20" s="1" t="s">
        <v>18</v>
      </c>
      <c r="V20" s="1" t="s">
        <v>18</v>
      </c>
      <c r="W20" s="1" t="s">
        <v>18</v>
      </c>
    </row>
    <row r="21" spans="1:42" x14ac:dyDescent="0.3">
      <c r="A21" t="s">
        <v>16</v>
      </c>
      <c r="B21">
        <v>4</v>
      </c>
      <c r="C21">
        <v>2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AM21" t="s">
        <v>15</v>
      </c>
      <c r="AN21">
        <v>0</v>
      </c>
      <c r="AO21">
        <v>5</v>
      </c>
      <c r="AP21">
        <f>AO21-AN21</f>
        <v>5</v>
      </c>
    </row>
    <row r="22" spans="1:42" x14ac:dyDescent="0.3">
      <c r="A22" t="s">
        <v>17</v>
      </c>
      <c r="B22">
        <v>3</v>
      </c>
      <c r="C22">
        <v>4</v>
      </c>
      <c r="J22" t="s">
        <v>32</v>
      </c>
      <c r="L22" t="s">
        <v>33</v>
      </c>
      <c r="M22" t="s">
        <v>33</v>
      </c>
      <c r="N22" t="s">
        <v>33</v>
      </c>
      <c r="O22" t="s">
        <v>33</v>
      </c>
      <c r="AM22" t="s">
        <v>16</v>
      </c>
      <c r="AN22">
        <v>2</v>
      </c>
      <c r="AO22">
        <v>14</v>
      </c>
      <c r="AP22">
        <f t="shared" ref="AP22:AP25" si="0">AO22-AN22</f>
        <v>12</v>
      </c>
    </row>
    <row r="23" spans="1:42" x14ac:dyDescent="0.3">
      <c r="A23" t="s">
        <v>18</v>
      </c>
      <c r="B23">
        <v>4</v>
      </c>
      <c r="C23">
        <v>6</v>
      </c>
      <c r="AM23" t="s">
        <v>17</v>
      </c>
      <c r="AN23">
        <v>4</v>
      </c>
      <c r="AO23">
        <v>8</v>
      </c>
      <c r="AP23">
        <f t="shared" si="0"/>
        <v>4</v>
      </c>
    </row>
    <row r="24" spans="1:42" x14ac:dyDescent="0.3">
      <c r="A24" t="s">
        <v>19</v>
      </c>
      <c r="B24">
        <v>2</v>
      </c>
      <c r="C24">
        <v>8</v>
      </c>
      <c r="AM24" t="s">
        <v>18</v>
      </c>
      <c r="AN24">
        <v>6</v>
      </c>
      <c r="AO24">
        <v>18</v>
      </c>
      <c r="AP24">
        <f t="shared" si="0"/>
        <v>12</v>
      </c>
    </row>
    <row r="25" spans="1:42" x14ac:dyDescent="0.3">
      <c r="AM25" t="s">
        <v>19</v>
      </c>
      <c r="AN25">
        <v>8</v>
      </c>
      <c r="AO25">
        <v>10</v>
      </c>
      <c r="AP25">
        <f t="shared" si="0"/>
        <v>2</v>
      </c>
    </row>
    <row r="26" spans="1:42" x14ac:dyDescent="0.3">
      <c r="AP26">
        <f>SUM(AP21:AP25)</f>
        <v>35</v>
      </c>
    </row>
    <row r="28" spans="1:42" x14ac:dyDescent="0.3">
      <c r="AM28" t="s">
        <v>9</v>
      </c>
      <c r="AN28">
        <f>AP26/5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0B19-D947-47BE-96A2-F762C61052EC}">
  <dimension ref="A2:AS27"/>
  <sheetViews>
    <sheetView tabSelected="1" workbookViewId="0">
      <selection activeCell="AN18" sqref="AN18"/>
    </sheetView>
  </sheetViews>
  <sheetFormatPr defaultRowHeight="18.75" x14ac:dyDescent="0.3"/>
  <cols>
    <col min="5" max="22" width="3" customWidth="1"/>
    <col min="23" max="41" width="2.796875" customWidth="1"/>
  </cols>
  <sheetData>
    <row r="2" spans="1:45" x14ac:dyDescent="0.3">
      <c r="B2" t="s">
        <v>20</v>
      </c>
      <c r="C2" t="s">
        <v>21</v>
      </c>
    </row>
    <row r="3" spans="1:45" x14ac:dyDescent="0.3">
      <c r="A3" t="s">
        <v>3</v>
      </c>
      <c r="B3">
        <v>0</v>
      </c>
      <c r="C3">
        <v>8</v>
      </c>
    </row>
    <row r="4" spans="1:45" x14ac:dyDescent="0.3">
      <c r="A4" t="s">
        <v>4</v>
      </c>
      <c r="B4">
        <v>1</v>
      </c>
      <c r="C4">
        <v>4</v>
      </c>
      <c r="F4" s="15"/>
      <c r="G4" s="15"/>
      <c r="H4" s="15"/>
      <c r="I4" s="15"/>
      <c r="J4" s="16"/>
      <c r="K4" s="16"/>
      <c r="L4" s="16"/>
      <c r="M4" s="16"/>
      <c r="N4" s="15"/>
      <c r="O4" s="15"/>
      <c r="P4" s="15"/>
      <c r="Q4" s="15"/>
      <c r="R4" s="17"/>
      <c r="S4" s="17"/>
      <c r="T4" s="17"/>
      <c r="U4" s="17"/>
    </row>
    <row r="5" spans="1:45" x14ac:dyDescent="0.3">
      <c r="A5" t="s">
        <v>2</v>
      </c>
      <c r="B5">
        <v>2</v>
      </c>
      <c r="C5">
        <v>9</v>
      </c>
      <c r="F5">
        <v>0</v>
      </c>
      <c r="G5">
        <v>1</v>
      </c>
      <c r="H5">
        <v>2</v>
      </c>
      <c r="I5">
        <v>3</v>
      </c>
      <c r="J5">
        <v>4</v>
      </c>
      <c r="K5">
        <v>5</v>
      </c>
      <c r="L5">
        <v>6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  <c r="AF5">
        <v>26</v>
      </c>
      <c r="AG5">
        <v>27</v>
      </c>
      <c r="AH5">
        <v>28</v>
      </c>
      <c r="AI5">
        <v>29</v>
      </c>
      <c r="AJ5">
        <v>30</v>
      </c>
      <c r="AP5" t="s">
        <v>42</v>
      </c>
      <c r="AQ5" t="s">
        <v>43</v>
      </c>
      <c r="AR5" t="s">
        <v>30</v>
      </c>
    </row>
    <row r="6" spans="1:45" x14ac:dyDescent="0.3">
      <c r="A6" t="s">
        <v>11</v>
      </c>
      <c r="B6">
        <v>3</v>
      </c>
      <c r="C6">
        <v>5</v>
      </c>
      <c r="E6" t="s">
        <v>34</v>
      </c>
      <c r="F6" t="s">
        <v>3</v>
      </c>
      <c r="G6" t="s">
        <v>3</v>
      </c>
      <c r="H6" t="s">
        <v>3</v>
      </c>
      <c r="I6" t="s">
        <v>3</v>
      </c>
      <c r="J6" t="s">
        <v>4</v>
      </c>
      <c r="K6" t="s">
        <v>4</v>
      </c>
      <c r="L6" t="s">
        <v>4</v>
      </c>
      <c r="M6" t="s">
        <v>4</v>
      </c>
      <c r="N6" t="s">
        <v>2</v>
      </c>
      <c r="O6" t="s">
        <v>2</v>
      </c>
      <c r="P6" t="s">
        <v>2</v>
      </c>
      <c r="Q6" t="s">
        <v>2</v>
      </c>
      <c r="R6" t="s">
        <v>11</v>
      </c>
      <c r="S6" t="s">
        <v>11</v>
      </c>
      <c r="T6" t="s">
        <v>11</v>
      </c>
      <c r="U6" t="s">
        <v>11</v>
      </c>
      <c r="V6" t="s">
        <v>3</v>
      </c>
      <c r="W6" t="s">
        <v>3</v>
      </c>
      <c r="X6" t="s">
        <v>3</v>
      </c>
      <c r="Y6" t="s">
        <v>3</v>
      </c>
      <c r="Z6" t="s">
        <v>2</v>
      </c>
      <c r="AA6" t="s">
        <v>2</v>
      </c>
      <c r="AB6" t="s">
        <v>2</v>
      </c>
      <c r="AC6" t="s">
        <v>2</v>
      </c>
      <c r="AD6" t="s">
        <v>11</v>
      </c>
      <c r="AE6" t="s">
        <v>2</v>
      </c>
      <c r="AP6" t="s">
        <v>3</v>
      </c>
      <c r="AQ6">
        <v>0</v>
      </c>
      <c r="AR6">
        <v>20</v>
      </c>
      <c r="AS6">
        <f>AR6-AQ6</f>
        <v>20</v>
      </c>
    </row>
    <row r="7" spans="1:45" x14ac:dyDescent="0.3">
      <c r="G7" t="s">
        <v>35</v>
      </c>
      <c r="H7" t="s">
        <v>35</v>
      </c>
      <c r="I7" t="s">
        <v>35</v>
      </c>
      <c r="J7" t="s">
        <v>36</v>
      </c>
      <c r="K7" t="s">
        <v>36</v>
      </c>
      <c r="L7" t="s">
        <v>36</v>
      </c>
      <c r="M7" t="s">
        <v>36</v>
      </c>
      <c r="N7" t="s">
        <v>37</v>
      </c>
      <c r="O7" t="s">
        <v>37</v>
      </c>
      <c r="P7" t="s">
        <v>37</v>
      </c>
      <c r="Q7" t="s">
        <v>37</v>
      </c>
      <c r="R7" t="s">
        <v>38</v>
      </c>
      <c r="S7" t="s">
        <v>38</v>
      </c>
      <c r="T7" t="s">
        <v>38</v>
      </c>
      <c r="U7" t="s">
        <v>38</v>
      </c>
      <c r="V7" t="s">
        <v>39</v>
      </c>
      <c r="W7" t="s">
        <v>39</v>
      </c>
      <c r="X7" t="s">
        <v>39</v>
      </c>
      <c r="Y7" t="s">
        <v>39</v>
      </c>
      <c r="Z7" t="s">
        <v>40</v>
      </c>
      <c r="AA7" t="s">
        <v>40</v>
      </c>
      <c r="AB7" t="s">
        <v>40</v>
      </c>
      <c r="AC7" t="s">
        <v>40</v>
      </c>
      <c r="AD7" t="s">
        <v>41</v>
      </c>
      <c r="AP7" t="s">
        <v>4</v>
      </c>
      <c r="AQ7">
        <v>1</v>
      </c>
      <c r="AR7">
        <v>8</v>
      </c>
      <c r="AS7">
        <f t="shared" ref="AS7:AS9" si="0">AR7-AQ7</f>
        <v>7</v>
      </c>
    </row>
    <row r="8" spans="1:45" x14ac:dyDescent="0.3">
      <c r="H8" t="s">
        <v>36</v>
      </c>
      <c r="I8" t="s">
        <v>36</v>
      </c>
      <c r="J8" t="s">
        <v>37</v>
      </c>
      <c r="K8" t="s">
        <v>37</v>
      </c>
      <c r="L8" t="s">
        <v>37</v>
      </c>
      <c r="M8" t="s">
        <v>37</v>
      </c>
      <c r="N8" t="s">
        <v>38</v>
      </c>
      <c r="O8" t="s">
        <v>38</v>
      </c>
      <c r="P8" t="s">
        <v>38</v>
      </c>
      <c r="Q8" t="s">
        <v>38</v>
      </c>
      <c r="R8" t="s">
        <v>39</v>
      </c>
      <c r="S8" t="s">
        <v>39</v>
      </c>
      <c r="T8" t="s">
        <v>39</v>
      </c>
      <c r="U8" t="s">
        <v>39</v>
      </c>
      <c r="V8" t="s">
        <v>40</v>
      </c>
      <c r="W8" t="s">
        <v>40</v>
      </c>
      <c r="X8" t="s">
        <v>40</v>
      </c>
      <c r="Y8" t="s">
        <v>40</v>
      </c>
      <c r="AP8" t="s">
        <v>2</v>
      </c>
      <c r="AQ8">
        <v>2</v>
      </c>
      <c r="AR8">
        <v>26</v>
      </c>
      <c r="AS8">
        <f t="shared" si="0"/>
        <v>24</v>
      </c>
    </row>
    <row r="9" spans="1:45" x14ac:dyDescent="0.3">
      <c r="I9" t="s">
        <v>37</v>
      </c>
      <c r="J9" t="s">
        <v>38</v>
      </c>
      <c r="K9" t="s">
        <v>38</v>
      </c>
      <c r="L9" t="s">
        <v>38</v>
      </c>
      <c r="M9" t="s">
        <v>38</v>
      </c>
      <c r="AP9" t="s">
        <v>11</v>
      </c>
      <c r="AQ9">
        <v>3</v>
      </c>
      <c r="AR9">
        <v>25</v>
      </c>
      <c r="AS9">
        <f t="shared" si="0"/>
        <v>22</v>
      </c>
    </row>
    <row r="10" spans="1:45" x14ac:dyDescent="0.3">
      <c r="C10" t="s">
        <v>21</v>
      </c>
      <c r="AS10">
        <f>SUM(AS6:AS9)</f>
        <v>73</v>
      </c>
    </row>
    <row r="11" spans="1:45" x14ac:dyDescent="0.3">
      <c r="A11" t="s">
        <v>15</v>
      </c>
      <c r="B11">
        <v>0</v>
      </c>
      <c r="C11">
        <v>10</v>
      </c>
    </row>
    <row r="12" spans="1:45" x14ac:dyDescent="0.3">
      <c r="A12" t="s">
        <v>16</v>
      </c>
      <c r="B12">
        <v>2</v>
      </c>
      <c r="C12">
        <v>6</v>
      </c>
    </row>
    <row r="13" spans="1:45" x14ac:dyDescent="0.3">
      <c r="A13" t="s">
        <v>17</v>
      </c>
      <c r="B13">
        <v>3</v>
      </c>
      <c r="C13">
        <v>7</v>
      </c>
      <c r="AP13" t="s">
        <v>9</v>
      </c>
      <c r="AQ13">
        <f>AS10/4</f>
        <v>18.25</v>
      </c>
    </row>
    <row r="14" spans="1:45" x14ac:dyDescent="0.3">
      <c r="A14" t="s">
        <v>18</v>
      </c>
      <c r="B14">
        <v>5</v>
      </c>
      <c r="C14">
        <v>9</v>
      </c>
    </row>
    <row r="15" spans="1:45" x14ac:dyDescent="0.3">
      <c r="A15" t="s">
        <v>19</v>
      </c>
      <c r="B15">
        <v>8</v>
      </c>
      <c r="C15">
        <v>6</v>
      </c>
    </row>
    <row r="16" spans="1:45" x14ac:dyDescent="0.3">
      <c r="F16" s="15"/>
      <c r="G16" s="15"/>
      <c r="H16" s="15"/>
      <c r="I16" s="15"/>
      <c r="J16" s="16"/>
      <c r="K16" s="16"/>
      <c r="L16" s="16"/>
      <c r="M16" s="16"/>
      <c r="N16" s="15"/>
      <c r="O16" s="15"/>
      <c r="P16" s="15"/>
      <c r="Q16" s="15"/>
      <c r="R16" s="17"/>
      <c r="S16" s="17"/>
      <c r="T16" s="17"/>
      <c r="U16" s="17"/>
      <c r="V16" s="18"/>
      <c r="W16" s="18"/>
      <c r="X16" s="18"/>
      <c r="Y16" s="18"/>
      <c r="Z16" s="19"/>
      <c r="AA16" s="19"/>
      <c r="AB16" s="19"/>
      <c r="AC16" s="19"/>
      <c r="AD16" s="8"/>
      <c r="AE16" s="8"/>
      <c r="AF16" s="8"/>
      <c r="AG16" s="8"/>
      <c r="AH16" s="5"/>
      <c r="AI16" s="5"/>
      <c r="AJ16" s="5"/>
      <c r="AK16" s="5"/>
    </row>
    <row r="17" spans="5:45" x14ac:dyDescent="0.3">
      <c r="F17">
        <v>0</v>
      </c>
      <c r="G17">
        <v>1</v>
      </c>
      <c r="H17">
        <v>2</v>
      </c>
      <c r="I17">
        <v>3</v>
      </c>
      <c r="J17">
        <v>4</v>
      </c>
      <c r="K17">
        <v>5</v>
      </c>
      <c r="L17">
        <v>6</v>
      </c>
      <c r="M17">
        <v>7</v>
      </c>
      <c r="N17">
        <v>8</v>
      </c>
      <c r="O17">
        <v>9</v>
      </c>
      <c r="P17">
        <v>10</v>
      </c>
      <c r="Q17">
        <v>11</v>
      </c>
      <c r="R17">
        <v>12</v>
      </c>
      <c r="S17">
        <v>13</v>
      </c>
      <c r="T17">
        <v>14</v>
      </c>
      <c r="U17">
        <v>15</v>
      </c>
      <c r="V17">
        <v>16</v>
      </c>
      <c r="W17">
        <v>17</v>
      </c>
      <c r="X17">
        <v>18</v>
      </c>
      <c r="Y17">
        <v>19</v>
      </c>
      <c r="Z17">
        <v>20</v>
      </c>
      <c r="AA17">
        <v>21</v>
      </c>
      <c r="AB17">
        <v>22</v>
      </c>
      <c r="AC17">
        <v>23</v>
      </c>
      <c r="AD17">
        <v>24</v>
      </c>
      <c r="AE17">
        <v>25</v>
      </c>
      <c r="AF17">
        <v>26</v>
      </c>
      <c r="AG17">
        <v>27</v>
      </c>
      <c r="AH17">
        <v>28</v>
      </c>
      <c r="AI17">
        <v>29</v>
      </c>
      <c r="AJ17">
        <v>30</v>
      </c>
      <c r="AK17">
        <v>31</v>
      </c>
      <c r="AL17">
        <v>32</v>
      </c>
      <c r="AM17">
        <v>33</v>
      </c>
      <c r="AN17">
        <v>34</v>
      </c>
      <c r="AO17">
        <v>35</v>
      </c>
    </row>
    <row r="18" spans="5:45" x14ac:dyDescent="0.3"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16</v>
      </c>
      <c r="K18" t="s">
        <v>16</v>
      </c>
      <c r="L18" t="s">
        <v>16</v>
      </c>
      <c r="M18" t="s">
        <v>16</v>
      </c>
      <c r="N18" t="s">
        <v>17</v>
      </c>
      <c r="O18" t="s">
        <v>17</v>
      </c>
      <c r="P18" t="s">
        <v>17</v>
      </c>
      <c r="Q18" t="s">
        <v>17</v>
      </c>
      <c r="R18" t="s">
        <v>15</v>
      </c>
      <c r="S18" t="s">
        <v>15</v>
      </c>
      <c r="T18" t="s">
        <v>15</v>
      </c>
      <c r="U18" t="s">
        <v>15</v>
      </c>
      <c r="V18" t="s">
        <v>18</v>
      </c>
      <c r="W18" t="s">
        <v>18</v>
      </c>
      <c r="X18" t="s">
        <v>18</v>
      </c>
      <c r="Y18" t="s">
        <v>18</v>
      </c>
      <c r="Z18" t="s">
        <v>19</v>
      </c>
      <c r="AA18" t="s">
        <v>19</v>
      </c>
      <c r="AB18" t="s">
        <v>19</v>
      </c>
      <c r="AC18" t="s">
        <v>19</v>
      </c>
      <c r="AD18" t="s">
        <v>16</v>
      </c>
      <c r="AE18" t="s">
        <v>16</v>
      </c>
      <c r="AF18" t="s">
        <v>17</v>
      </c>
      <c r="AG18" t="s">
        <v>17</v>
      </c>
      <c r="AH18" t="s">
        <v>15</v>
      </c>
      <c r="AI18" t="s">
        <v>15</v>
      </c>
      <c r="AJ18" t="s">
        <v>18</v>
      </c>
      <c r="AK18" t="s">
        <v>18</v>
      </c>
      <c r="AL18" t="s">
        <v>19</v>
      </c>
      <c r="AM18" t="s">
        <v>19</v>
      </c>
      <c r="AN18" t="s">
        <v>17</v>
      </c>
      <c r="AQ18" t="s">
        <v>43</v>
      </c>
      <c r="AR18" t="s">
        <v>30</v>
      </c>
    </row>
    <row r="19" spans="5:45" x14ac:dyDescent="0.3">
      <c r="H19" t="s">
        <v>44</v>
      </c>
      <c r="I19" t="s">
        <v>44</v>
      </c>
      <c r="J19" t="s">
        <v>45</v>
      </c>
      <c r="K19" t="s">
        <v>45</v>
      </c>
      <c r="L19" t="s">
        <v>45</v>
      </c>
      <c r="M19" t="s">
        <v>45</v>
      </c>
      <c r="N19" t="s">
        <v>46</v>
      </c>
      <c r="O19" t="s">
        <v>46</v>
      </c>
      <c r="P19" t="s">
        <v>46</v>
      </c>
      <c r="Q19" t="s">
        <v>46</v>
      </c>
      <c r="R19" t="s">
        <v>51</v>
      </c>
      <c r="S19" t="s">
        <v>51</v>
      </c>
      <c r="T19" t="s">
        <v>51</v>
      </c>
      <c r="U19" t="s">
        <v>51</v>
      </c>
      <c r="V19" t="s">
        <v>48</v>
      </c>
      <c r="W19" t="s">
        <v>48</v>
      </c>
      <c r="X19" t="s">
        <v>48</v>
      </c>
      <c r="Y19" t="s">
        <v>48</v>
      </c>
      <c r="Z19" t="s">
        <v>49</v>
      </c>
      <c r="AA19" t="s">
        <v>49</v>
      </c>
      <c r="AB19" t="s">
        <v>49</v>
      </c>
      <c r="AC19" t="s">
        <v>49</v>
      </c>
      <c r="AD19" t="s">
        <v>32</v>
      </c>
      <c r="AE19" t="s">
        <v>32</v>
      </c>
      <c r="AF19" t="s">
        <v>50</v>
      </c>
      <c r="AG19" t="s">
        <v>50</v>
      </c>
      <c r="AH19" t="s">
        <v>47</v>
      </c>
      <c r="AI19" t="s">
        <v>47</v>
      </c>
      <c r="AJ19" t="s">
        <v>52</v>
      </c>
      <c r="AK19" t="s">
        <v>52</v>
      </c>
      <c r="AL19" t="s">
        <v>17</v>
      </c>
      <c r="AM19" t="s">
        <v>17</v>
      </c>
      <c r="AP19" t="s">
        <v>53</v>
      </c>
    </row>
    <row r="20" spans="5:45" x14ac:dyDescent="0.3">
      <c r="I20" t="s">
        <v>45</v>
      </c>
      <c r="J20" t="s">
        <v>46</v>
      </c>
      <c r="K20" t="s">
        <v>46</v>
      </c>
      <c r="L20" t="s">
        <v>46</v>
      </c>
      <c r="M20" t="s">
        <v>46</v>
      </c>
      <c r="N20" t="s">
        <v>47</v>
      </c>
      <c r="O20" t="s">
        <v>47</v>
      </c>
      <c r="P20" t="s">
        <v>47</v>
      </c>
      <c r="Q20" t="s">
        <v>47</v>
      </c>
      <c r="R20" t="s">
        <v>48</v>
      </c>
      <c r="S20" t="s">
        <v>48</v>
      </c>
      <c r="T20" t="s">
        <v>48</v>
      </c>
      <c r="U20" t="s">
        <v>48</v>
      </c>
      <c r="V20" t="s">
        <v>49</v>
      </c>
      <c r="W20" t="s">
        <v>49</v>
      </c>
      <c r="X20" t="s">
        <v>49</v>
      </c>
      <c r="Y20" t="s">
        <v>49</v>
      </c>
      <c r="Z20" t="s">
        <v>32</v>
      </c>
      <c r="AA20" t="s">
        <v>32</v>
      </c>
      <c r="AB20" t="s">
        <v>32</v>
      </c>
      <c r="AC20" t="s">
        <v>32</v>
      </c>
      <c r="AD20" t="s">
        <v>50</v>
      </c>
      <c r="AE20" t="s">
        <v>50</v>
      </c>
      <c r="AF20" t="s">
        <v>47</v>
      </c>
      <c r="AG20" t="s">
        <v>47</v>
      </c>
      <c r="AH20" t="s">
        <v>52</v>
      </c>
      <c r="AI20" t="s">
        <v>52</v>
      </c>
      <c r="AJ20" t="s">
        <v>17</v>
      </c>
      <c r="AK20" t="s">
        <v>17</v>
      </c>
      <c r="AP20" t="s">
        <v>15</v>
      </c>
      <c r="AQ20">
        <v>0</v>
      </c>
      <c r="AR20">
        <v>30</v>
      </c>
      <c r="AS20">
        <f>AR20-AQ20</f>
        <v>30</v>
      </c>
    </row>
    <row r="21" spans="5:45" x14ac:dyDescent="0.3">
      <c r="K21" t="s">
        <v>47</v>
      </c>
      <c r="L21" t="s">
        <v>47</v>
      </c>
      <c r="M21" t="s">
        <v>47</v>
      </c>
      <c r="N21" t="s">
        <v>48</v>
      </c>
      <c r="O21" t="s">
        <v>48</v>
      </c>
      <c r="P21" t="s">
        <v>48</v>
      </c>
      <c r="Q21" t="s">
        <v>48</v>
      </c>
      <c r="R21" t="s">
        <v>49</v>
      </c>
      <c r="S21" t="s">
        <v>49</v>
      </c>
      <c r="T21" t="s">
        <v>49</v>
      </c>
      <c r="U21" t="s">
        <v>49</v>
      </c>
      <c r="V21" t="s">
        <v>32</v>
      </c>
      <c r="W21" t="s">
        <v>32</v>
      </c>
      <c r="X21" t="s">
        <v>32</v>
      </c>
      <c r="Y21" t="s">
        <v>32</v>
      </c>
      <c r="Z21" t="s">
        <v>50</v>
      </c>
      <c r="AA21" t="s">
        <v>50</v>
      </c>
      <c r="AB21" t="s">
        <v>50</v>
      </c>
      <c r="AC21" t="s">
        <v>50</v>
      </c>
      <c r="AD21" t="s">
        <v>47</v>
      </c>
      <c r="AE21" t="s">
        <v>47</v>
      </c>
      <c r="AF21" t="s">
        <v>52</v>
      </c>
      <c r="AG21" t="s">
        <v>52</v>
      </c>
      <c r="AH21" t="s">
        <v>17</v>
      </c>
      <c r="AI21" t="s">
        <v>17</v>
      </c>
      <c r="AP21" t="s">
        <v>16</v>
      </c>
      <c r="AQ21">
        <v>2</v>
      </c>
      <c r="AR21">
        <v>26</v>
      </c>
      <c r="AS21">
        <f t="shared" ref="AS21:AS24" si="1">AR21-AQ21</f>
        <v>24</v>
      </c>
    </row>
    <row r="22" spans="5:45" x14ac:dyDescent="0.3">
      <c r="N22" t="s">
        <v>49</v>
      </c>
      <c r="O22" t="s">
        <v>49</v>
      </c>
      <c r="P22" t="s">
        <v>49</v>
      </c>
      <c r="Q22" t="s">
        <v>49</v>
      </c>
      <c r="R22" t="s">
        <v>32</v>
      </c>
      <c r="S22" t="s">
        <v>32</v>
      </c>
      <c r="T22" t="s">
        <v>32</v>
      </c>
      <c r="U22" t="s">
        <v>32</v>
      </c>
      <c r="V22" t="s">
        <v>50</v>
      </c>
      <c r="W22" t="s">
        <v>50</v>
      </c>
      <c r="X22" t="s">
        <v>50</v>
      </c>
      <c r="Y22" t="s">
        <v>50</v>
      </c>
      <c r="Z22" t="s">
        <v>47</v>
      </c>
      <c r="AA22" t="s">
        <v>47</v>
      </c>
      <c r="AB22" t="s">
        <v>47</v>
      </c>
      <c r="AC22" t="s">
        <v>47</v>
      </c>
      <c r="AD22" t="s">
        <v>52</v>
      </c>
      <c r="AE22" t="s">
        <v>52</v>
      </c>
      <c r="AP22" t="s">
        <v>17</v>
      </c>
      <c r="AQ22">
        <v>3</v>
      </c>
      <c r="AR22">
        <v>35</v>
      </c>
      <c r="AS22">
        <f t="shared" si="1"/>
        <v>32</v>
      </c>
    </row>
    <row r="23" spans="5:45" x14ac:dyDescent="0.3">
      <c r="AP23" t="s">
        <v>18</v>
      </c>
      <c r="AQ23">
        <v>5</v>
      </c>
      <c r="AR23">
        <v>31</v>
      </c>
      <c r="AS23">
        <f t="shared" si="1"/>
        <v>26</v>
      </c>
    </row>
    <row r="24" spans="5:45" x14ac:dyDescent="0.3">
      <c r="AP24" t="s">
        <v>19</v>
      </c>
      <c r="AQ24">
        <v>8</v>
      </c>
      <c r="AR24">
        <v>34</v>
      </c>
      <c r="AS24">
        <f t="shared" si="1"/>
        <v>26</v>
      </c>
    </row>
    <row r="25" spans="5:45" x14ac:dyDescent="0.3">
      <c r="AS25">
        <f>SUM(AS20:AS24)</f>
        <v>138</v>
      </c>
    </row>
    <row r="27" spans="5:45" x14ac:dyDescent="0.3">
      <c r="AP27" t="s">
        <v>54</v>
      </c>
      <c r="AQ27">
        <f>AS25/5</f>
        <v>27.6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Fifo</vt:lpstr>
      <vt:lpstr>SNJ</vt:lpstr>
      <vt:lpstr>ProximoTerminar</vt:lpstr>
      <vt:lpstr>Round Robin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Aguero</dc:creator>
  <cp:lastModifiedBy>Mario Aguero</cp:lastModifiedBy>
  <dcterms:created xsi:type="dcterms:W3CDTF">2026-09-28T22:37:07Z</dcterms:created>
  <dcterms:modified xsi:type="dcterms:W3CDTF">2026-09-29T00:38:49Z</dcterms:modified>
</cp:coreProperties>
</file>